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cas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<sst xmlns="http://schemas.openxmlformats.org/spreadsheetml/2006/main" count="62" uniqueCount="54">
  <si>
    <t xml:space="preserve">original_citation</t>
  </si>
  <si>
    <t xml:space="preserve">sheet_name</t>
  </si>
  <si>
    <t xml:space="preserve">authors</t>
  </si>
  <si>
    <t xml:space="preserve">year</t>
  </si>
  <si>
    <t xml:space="preserve">title</t>
  </si>
  <si>
    <t xml:space="preserve">journal</t>
  </si>
  <si>
    <t xml:space="preserve">volume_issue</t>
  </si>
  <si>
    <t xml:space="preserve">pages</t>
  </si>
  <si>
    <t xml:space="preserve">doi</t>
  </si>
  <si>
    <t xml:space="preserve">author_num</t>
  </si>
  <si>
    <t xml:space="preserve">parse_errors</t>
  </si>
  <si>
    <t xml:space="preserve">Gadd, D. (2015). In the aftermath of violence: What constitutes a responsive response? British Journal of Criminology, 55(6), 1031–1039. https://doi.org/10.1093/bjc/azv096</t>
  </si>
  <si>
    <t xml:space="preserve">british j of crim</t>
  </si>
  <si>
    <t xml:space="preserve">Gadd, D</t>
  </si>
  <si>
    <t xml:space="preserve">2015</t>
  </si>
  <si>
    <t xml:space="preserve">In the aftermath of violence: What constitutes a responsive response?</t>
  </si>
  <si>
    <t xml:space="preserve">British Journal of Criminology</t>
  </si>
  <si>
    <t xml:space="preserve">55(6)</t>
  </si>
  <si>
    <t xml:space="preserve">1031–1039</t>
  </si>
  <si>
    <t xml:space="preserve">https://doi.org/10.1093/bjc/azv096</t>
  </si>
  <si>
    <t xml:space="preserve">Crow, M. S., &amp; Goulette, N. (2025). U.S. district court judicial diversity: The impact of race and sex composition on sentencing outcomes at the district level. Crime &amp; Delinquency, 71(11), 3529–3553. https://doi.org/10.1177/00111287241231748</t>
  </si>
  <si>
    <t xml:space="preserve">crime &amp; delinquency</t>
  </si>
  <si>
    <t xml:space="preserve">Crow, M. S., &amp; Goulette, N</t>
  </si>
  <si>
    <t xml:space="preserve">2025</t>
  </si>
  <si>
    <t xml:space="preserve">U.S. district court judicial diversity: The impact of race and sex composition on sentencing outcomes at the district level</t>
  </si>
  <si>
    <t xml:space="preserve">Crime &amp; Delinquency</t>
  </si>
  <si>
    <t xml:space="preserve">71(11)</t>
  </si>
  <si>
    <t xml:space="preserve">3529–3553</t>
  </si>
  <si>
    <t xml:space="preserve">https://doi.org/10.1177/00111287241231748</t>
  </si>
  <si>
    <t xml:space="preserve">Boehme, H. M., Williams, T. V., Brown, N., Kidd, L., Hernandez, B., &amp; Nolan, M. S. (2022). “It’s all about just creating the safe space”: Barbershops and beauty salons as community anchors in Black neighborhoods: Crime prevention, cohesion, and support during the COVID-19 pandemic. Crime &amp; Delinquency, 1–25. https://doi.org/10.1177/00111287221130956</t>
  </si>
  <si>
    <t xml:space="preserve">Boehme, H. M., Williams, T. V., Brown, N., Kidd, L., Hernandez, B., &amp; Nolan, M. S</t>
  </si>
  <si>
    <t xml:space="preserve">2022</t>
  </si>
  <si>
    <t xml:space="preserve">“It’s all about just creating the safe space”: Barbershops and beauty salons as community anchors in Black neighborhoods: Crime prevention, cohesion, and support during the COVID-19 pandemic</t>
  </si>
  <si>
    <t xml:space="preserve">1–25</t>
  </si>
  <si>
    <t xml:space="preserve">https://doi.org/10.1177/00111287221130956</t>
  </si>
  <si>
    <t xml:space="preserve">Levin, A., Rosenfeld, R., &amp; Deckard, M. (2017). The law of crime concentration: An application and recommendations for future research. Journal of Quantitative Criminology, 33(3), 633–? [page numbers missing]. https://doi.org/10.1007/s10940-016-9332-7</t>
  </si>
  <si>
    <t xml:space="preserve">j of quantitative crim</t>
  </si>
  <si>
    <t xml:space="preserve">Levin, A., Rosenfeld, R., &amp; Deckard, M</t>
  </si>
  <si>
    <t xml:space="preserve">2017</t>
  </si>
  <si>
    <t xml:space="preserve">The law of crime concentration: An application and recommendations for future research</t>
  </si>
  <si>
    <t xml:space="preserve">Journal of Quantitative Criminology</t>
  </si>
  <si>
    <t xml:space="preserve">33(3)</t>
  </si>
  <si>
    <t xml:space="preserve">633–?</t>
  </si>
  <si>
    <t xml:space="preserve">https://doi.org/10.1007/s10940-016-9332-7</t>
  </si>
  <si>
    <t xml:space="preserve">van der Zwet, K., Sloot, P. M. A., Barros, A. I., van Engers, T. M., &amp; (if listed as author) (2025). Opportunistic organization of illicit supply chains. Journal of Quantitative Criminology, 41(2), 623–646. https://doi.org/10.1007/s10940-025-09613-x</t>
  </si>
  <si>
    <t xml:space="preserve">van der Zwet, K., Sloot, P. M. A., Barros, A. I., van Engers, T. M., &amp; (if listed as author)</t>
  </si>
  <si>
    <t xml:space="preserve">Opportunistic organization of illicit supply chains</t>
  </si>
  <si>
    <t xml:space="preserve">41(2)</t>
  </si>
  <si>
    <t xml:space="preserve">623–646</t>
  </si>
  <si>
    <t xml:space="preserve">https://doi.org/10.1007/s10940-025-09613-x</t>
  </si>
  <si>
    <t xml:space="preserve">Carson, J. V. (2019). Assessing the nuances of counterterrorism programs: A country-level investigation of</t>
  </si>
  <si>
    <t xml:space="preserve">Carson, J. V</t>
  </si>
  <si>
    <t xml:space="preserve">2019</t>
  </si>
  <si>
    <t xml:space="preserve">Felson, R. B., Osgood, D. W., Cundiff, P. R., &amp; Wiernik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</si>
</sst>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7031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tru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n">
        <v>1</v>
      </c>
      <c r="K2" s="1" t="n">
        <f aca="false">FALSE()</f>
        <v>0</v>
      </c>
    </row>
    <row r="3" s="1" customFormat="true" ht="12.8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n">
        <v>2</v>
      </c>
      <c r="K3" s="1" t="n">
        <f aca="false">FALSE()</f>
        <v>0</v>
      </c>
    </row>
    <row r="4" s="1" customFormat="true" ht="12.8" hidden="false" customHeight="false" outlineLevel="0" collapsed="false">
      <c r="A4" s="1" t="s">
        <v>29</v>
      </c>
      <c r="B4" s="1" t="s">
        <v>21</v>
      </c>
      <c r="C4" s="1" t="s">
        <v>30</v>
      </c>
      <c r="D4" s="1" t="s">
        <v>31</v>
      </c>
      <c r="E4" s="1" t="s">
        <v>32</v>
      </c>
      <c r="F4" s="1" t="s">
        <v>25</v>
      </c>
      <c r="H4" s="1" t="s">
        <v>33</v>
      </c>
      <c r="I4" s="1" t="s">
        <v>34</v>
      </c>
      <c r="J4" s="1" t="n">
        <v>6</v>
      </c>
      <c r="K4" s="1" t="n">
        <f aca="false">TRUE()</f>
        <v>1</v>
      </c>
    </row>
    <row r="5" s="1" customFormat="true" ht="12.8" hidden="false" customHeight="false" outlineLevel="0" collapsed="false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n">
        <v>3</v>
      </c>
      <c r="K5" s="1" t="n">
        <f aca="false">FALSE()</f>
        <v>0</v>
      </c>
    </row>
    <row r="6" s="1" customFormat="true" ht="12.8" hidden="false" customHeight="false" outlineLevel="0" collapsed="false">
      <c r="A6" s="1" t="s">
        <v>44</v>
      </c>
      <c r="B6" s="1" t="s">
        <v>36</v>
      </c>
      <c r="C6" s="1" t="s">
        <v>45</v>
      </c>
      <c r="D6" s="1" t="s">
        <v>23</v>
      </c>
      <c r="E6" s="1" t="s">
        <v>46</v>
      </c>
      <c r="F6" s="1" t="s">
        <v>40</v>
      </c>
      <c r="G6" s="1" t="s">
        <v>47</v>
      </c>
      <c r="H6" s="1" t="s">
        <v>48</v>
      </c>
      <c r="I6" s="1" t="s">
        <v>49</v>
      </c>
      <c r="J6" s="1" t="n">
        <v>4.5</v>
      </c>
      <c r="K6" s="1" t="n">
        <f aca="false">TRUE()</f>
        <v>1</v>
      </c>
    </row>
    <row r="7" s="1" customFormat="true" ht="12.8" hidden="false" customHeight="false" outlineLevel="0" collapsed="false">
      <c r="A7" s="1" t="s">
        <v>50</v>
      </c>
      <c r="B7" s="1" t="s">
        <v>21</v>
      </c>
      <c r="C7" s="1" t="s">
        <v>51</v>
      </c>
      <c r="D7" s="1" t="s">
        <v>52</v>
      </c>
      <c r="J7" s="1" t="n">
        <v>1</v>
      </c>
      <c r="K7" s="1" t="n">
        <f aca="false">TRUE()</f>
        <v>1</v>
      </c>
    </row>
    <row r="8" customFormat="false" ht="12.8" hidden="false" customHeight="false" outlineLevel="0" collapsed="false">
      <c r="A8" s="1" t="s">
        <v>53</v>
      </c>
      <c r="B8" s="1" t="s">
        <v>21</v>
      </c>
      <c r="C8" s="1" t="s">
        <v>53</v>
      </c>
      <c r="J8" s="1" t="n">
        <v>3.5</v>
      </c>
      <c r="K8" s="1" t="n">
        <f aca="false">TRUE()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2026-06-30T11:40:20Z</dcterms:created>
  <dc:creator/>
  <dc:description/>
  <dc:language>en-US</dc:language>
  <cp:lastModifiedBy/>
  <dcterms:modified xsi:type="dcterms:W3CDTF">2026-07-01T15:16:21Z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